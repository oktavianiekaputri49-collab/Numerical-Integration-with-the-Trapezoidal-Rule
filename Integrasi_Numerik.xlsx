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C2D3CA51-D766-408E-95DE-1435D1475D25}" xr6:coauthVersionLast="47" xr6:coauthVersionMax="47" xr10:uidLastSave="{00000000-0000-0000-0000-000000000000}"/>
  <bookViews>
    <workbookView xWindow="-110" yWindow="-110" windowWidth="19420" windowHeight="10300" xr2:uid="{902F7D49-C52B-4BD6-852C-FC0D580914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C10" i="1"/>
  <c r="E10" i="1" s="1"/>
  <c r="D9" i="1"/>
  <c r="C9" i="1"/>
  <c r="E9" i="1" s="1"/>
  <c r="D8" i="1"/>
  <c r="C8" i="1"/>
  <c r="E8" i="1" s="1"/>
  <c r="D7" i="1"/>
  <c r="C7" i="1"/>
  <c r="E7" i="1" s="1"/>
  <c r="D6" i="1"/>
  <c r="C6" i="1"/>
  <c r="E6" i="1" s="1"/>
  <c r="D5" i="1"/>
  <c r="C5" i="1"/>
  <c r="E5" i="1" s="1"/>
  <c r="D4" i="1"/>
  <c r="C4" i="1"/>
  <c r="E4" i="1" s="1"/>
  <c r="D3" i="1"/>
  <c r="C3" i="1"/>
  <c r="E3" i="1" s="1"/>
  <c r="D2" i="1"/>
  <c r="C2" i="1"/>
  <c r="E2" i="1" s="1"/>
  <c r="E11" i="1" s="1"/>
  <c r="E12" i="1" s="1"/>
</calcChain>
</file>

<file path=xl/sharedStrings.xml><?xml version="1.0" encoding="utf-8"?>
<sst xmlns="http://schemas.openxmlformats.org/spreadsheetml/2006/main" count="7" uniqueCount="7">
  <si>
    <t>i</t>
  </si>
  <si>
    <t>xi</t>
  </si>
  <si>
    <t>f(xi)</t>
  </si>
  <si>
    <t>Koef</t>
  </si>
  <si>
    <t>Koef×f(xi)</t>
  </si>
  <si>
    <t>Jumlah</t>
  </si>
  <si>
    <t>Integral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</si>
</sst>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1" fontId="2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AB978-3366-4B12-8FB0-09D5DC468688}">
  <dimension ref="A1:E12"/>
  <sheetViews>
    <sheetView tabSelected="1" workbookViewId="0">
      <selection activeCell="G6" sqref="G6"/>
    </sheetView>
  </sheetViews>
  <sheetFormatPr defaultRowHeight="15.5" x14ac:dyDescent="0.35"/>
  <cols>
    <col min="1" max="4" width="8.7265625" style="2"/>
    <col min="5" max="5" width="14.54296875" style="2" bestFit="1" customWidth="1"/>
    <col min="6" max="16384" width="8.7265625" style="2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3">
        <v>0</v>
      </c>
      <c r="B2" s="3">
        <v>0</v>
      </c>
      <c r="C2" s="3">
        <f>B2^2*LN(B2^2+1)</f>
        <v>0</v>
      </c>
      <c r="D2" s="4">
        <f>IF(OR(A2=0,A2=8),1,2)</f>
        <v>1</v>
      </c>
      <c r="E2" s="3">
        <f>C2*D2</f>
        <v>0</v>
      </c>
    </row>
    <row r="3" spans="1:5" x14ac:dyDescent="0.35">
      <c r="A3" s="3">
        <v>1</v>
      </c>
      <c r="B3" s="3">
        <v>0.25</v>
      </c>
      <c r="C3" s="3">
        <f>B3^2*LN(B3^2+1)</f>
        <v>3.7890388635271775E-3</v>
      </c>
      <c r="D3" s="4">
        <f t="shared" ref="D3:D9" si="0">IF(OR(A3=0,A3=8),1,2)</f>
        <v>2</v>
      </c>
      <c r="E3" s="6">
        <f t="shared" ref="E3:E10" si="1">C3*D3</f>
        <v>7.578077727054355E-3</v>
      </c>
    </row>
    <row r="4" spans="1:5" x14ac:dyDescent="0.35">
      <c r="A4" s="3">
        <v>2</v>
      </c>
      <c r="B4" s="3">
        <v>0.5</v>
      </c>
      <c r="C4" s="3">
        <f t="shared" ref="C4:C9" si="2">B4^2*LN(B4^2+1)</f>
        <v>5.5785887828552441E-2</v>
      </c>
      <c r="D4" s="4">
        <f t="shared" si="0"/>
        <v>2</v>
      </c>
      <c r="E4" s="6">
        <f t="shared" si="1"/>
        <v>0.11157177565710488</v>
      </c>
    </row>
    <row r="5" spans="1:5" x14ac:dyDescent="0.35">
      <c r="A5" s="3">
        <v>3</v>
      </c>
      <c r="B5" s="3">
        <v>0.75</v>
      </c>
      <c r="C5" s="3">
        <f t="shared" si="2"/>
        <v>0.25103649522848598</v>
      </c>
      <c r="D5" s="4">
        <f t="shared" si="0"/>
        <v>2</v>
      </c>
      <c r="E5" s="6">
        <f t="shared" si="1"/>
        <v>0.50207299045697196</v>
      </c>
    </row>
    <row r="6" spans="1:5" x14ac:dyDescent="0.35">
      <c r="A6" s="3">
        <v>4</v>
      </c>
      <c r="B6" s="3">
        <v>1</v>
      </c>
      <c r="C6" s="3">
        <f t="shared" si="2"/>
        <v>0.69314718055994529</v>
      </c>
      <c r="D6" s="4">
        <f t="shared" si="0"/>
        <v>2</v>
      </c>
      <c r="E6" s="6">
        <f t="shared" si="1"/>
        <v>1.3862943611198906</v>
      </c>
    </row>
    <row r="7" spans="1:5" x14ac:dyDescent="0.35">
      <c r="A7" s="3">
        <v>5</v>
      </c>
      <c r="B7" s="3">
        <v>1.25</v>
      </c>
      <c r="C7" s="3">
        <f t="shared" si="2"/>
        <v>1.4702864757258227</v>
      </c>
      <c r="D7" s="4">
        <f t="shared" si="0"/>
        <v>2</v>
      </c>
      <c r="E7" s="6">
        <f t="shared" si="1"/>
        <v>2.9405729514516454</v>
      </c>
    </row>
    <row r="8" spans="1:5" x14ac:dyDescent="0.35">
      <c r="A8" s="3">
        <v>6</v>
      </c>
      <c r="B8" s="3">
        <v>1.5</v>
      </c>
      <c r="C8" s="3">
        <f t="shared" si="2"/>
        <v>2.6519737417687037</v>
      </c>
      <c r="D8" s="4">
        <f t="shared" si="0"/>
        <v>2</v>
      </c>
      <c r="E8" s="6">
        <f t="shared" si="1"/>
        <v>5.3039474835374074</v>
      </c>
    </row>
    <row r="9" spans="1:5" x14ac:dyDescent="0.35">
      <c r="A9" s="3">
        <v>7</v>
      </c>
      <c r="B9" s="3">
        <v>1.75</v>
      </c>
      <c r="C9" s="3">
        <f t="shared" si="2"/>
        <v>4.2930080521960585</v>
      </c>
      <c r="D9" s="4">
        <f t="shared" si="0"/>
        <v>2</v>
      </c>
      <c r="E9" s="6">
        <f t="shared" si="1"/>
        <v>8.586016104392117</v>
      </c>
    </row>
    <row r="10" spans="1:5" x14ac:dyDescent="0.35">
      <c r="A10" s="3">
        <v>8</v>
      </c>
      <c r="B10" s="3">
        <v>2</v>
      </c>
      <c r="C10" s="3">
        <f>B10^2*LN(B10^2+1)</f>
        <v>6.4377516497364011</v>
      </c>
      <c r="D10" s="4">
        <f>IF(OR(A10=0,A10=8),1,2)</f>
        <v>1</v>
      </c>
      <c r="E10" s="6">
        <f t="shared" si="1"/>
        <v>6.4377516497364011</v>
      </c>
    </row>
    <row r="11" spans="1:5" x14ac:dyDescent="0.35">
      <c r="A11" s="5" t="s">
        <v>5</v>
      </c>
      <c r="B11" s="5"/>
      <c r="C11" s="5"/>
      <c r="D11" s="5"/>
      <c r="E11" s="6">
        <f>SUM(E2:E10)</f>
        <v>25.275805394078592</v>
      </c>
    </row>
    <row r="12" spans="1:5" x14ac:dyDescent="0.35">
      <c r="A12" s="5" t="s">
        <v>6</v>
      </c>
      <c r="B12" s="5"/>
      <c r="C12" s="5"/>
      <c r="D12" s="5"/>
      <c r="E12" s="6">
        <f>0.125*E11</f>
        <v>3.159475674259824</v>
      </c>
    </row>
  </sheetData>
  <mergeCells count="2">
    <mergeCell ref="A11:D11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2026-06-17T00:57:26Z</dcterms:created>
  <dcterms:modified xsi:type="dcterms:W3CDTF">2026-06-17T00:58:02Z</dcterms:modified>
</cp:coreProperties>
</file>